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sheets>
    <sheet name="Sheet1" sheetId="1" r:id="rId1"/>
    <sheet name="Blad1" sheetId="2" r:id="rId2"/>
  </sheets>
</workbook>
</file>

<file path=xl/sharedStrings.xml><?xml version="1.0" encoding="utf-8"?>
<sst xmlns="http://schemas.openxmlformats.org/spreadsheetml/2006/main" count="44" uniqueCount="44">
  <si>
    <t xml:space="preserve">Schipper</t>
  </si>
  <si>
    <t xml:space="preserve">Co-schipper</t>
  </si>
  <si>
    <t xml:space="preserve">bem./trainee:</t>
  </si>
  <si>
    <t xml:space="preserve">totaal:</t>
  </si>
  <si>
    <t xml:space="preserve">Datum</t>
  </si>
  <si>
    <t xml:space="preserve">Van (plaats)</t>
  </si>
  <si>
    <t xml:space="preserve">Van (land)</t>
  </si>
  <si>
    <t xml:space="preserve">Naar (plaats)</t>
  </si>
  <si>
    <t xml:space="preserve">Naar (land)</t>
  </si>
  <si>
    <t xml:space="preserve">Rol</t>
  </si>
  <si>
    <t xml:space="preserve">Schip</t>
  </si>
  <si>
    <t xml:space="preserve">Schipper/trainer</t>
  </si>
  <si>
    <t xml:space="preserve">Co-schipper (flot.leider)</t>
  </si>
  <si>
    <t xml:space="preserve">Wind (bft)</t>
  </si>
  <si>
    <t xml:space="preserve">Binnenwater</t>
  </si>
  <si>
    <t xml:space="preserve">Zee</t>
  </si>
  <si>
    <t xml:space="preserve">Zee (getijnavigatie)</t>
  </si>
  <si>
    <t xml:space="preserve">Totaal</t>
  </si>
  <si>
    <t xml:space="preserve">Nacht-uren</t>
  </si>
  <si>
    <t xml:space="preserve">Bijzonderheden</t>
  </si>
  <si>
    <t xml:space="preserve">Fjordhaven</t>
  </si>
  <si>
    <t xml:space="preserve">Noordland</t>
  </si>
  <si>
    <t xml:space="preserve">Kaap Nevel</t>
  </si>
  <si>
    <t xml:space="preserve">Nepboot Een</t>
  </si>
  <si>
    <t xml:space="preserve">3-4</t>
  </si>
  <si>
    <t xml:space="preserve">Oefentocht noord</t>
  </si>
  <si>
    <t xml:space="preserve">Zoutbaai</t>
  </si>
  <si>
    <t xml:space="preserve">Lange dag</t>
  </si>
  <si>
    <t xml:space="preserve">Westeiland</t>
  </si>
  <si>
    <t xml:space="preserve">Verreland</t>
  </si>
  <si>
    <t xml:space="preserve">Oosteiland</t>
  </si>
  <si>
    <t xml:space="preserve">Nepboot Twee</t>
  </si>
  <si>
    <t xml:space="preserve">Kapitein Nep</t>
  </si>
  <si>
    <t xml:space="preserve">Zuidrif</t>
  </si>
  <si>
    <t xml:space="preserve">Terug</t>
  </si>
  <si>
    <t xml:space="preserve">Meerdorp</t>
  </si>
  <si>
    <t xml:space="preserve">Rietmeer</t>
  </si>
  <si>
    <t xml:space="preserve">Trainee</t>
  </si>
  <si>
    <t xml:space="preserve">Nepboot Drie</t>
  </si>
  <si>
    <t xml:space="preserve">Trainer Nep</t>
  </si>
  <si>
    <t xml:space="preserve">Cursus binnenwater</t>
  </si>
  <si>
    <t xml:space="preserve">Bemanningslid</t>
  </si>
  <si>
    <t xml:space="preserve">Nep Co</t>
  </si>
  <si>
    <t xml:space="preserve">Instructeur</t>
  </si>
</sst>
</file>

<file path=xl/styles.xml><?xml version="1.0" encoding="utf-8"?>
<styleSheet xmlns="http://schemas.openxmlformats.org/spreadsheetml/2006/main">
  <numFmts count="1">
    <numFmt numFmtId="164" formatCode="d\-m\-yyyy;@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x14ac:dyDescent="0.25"/>
  <sheetData>
    <row r="1">
      <c r="J1" t="s">
        <v>0</v>
      </c>
      <c r="K1">
        <f>SUMIF($F$7:$F$200,$J1,K$7:K$200)</f>
        <v>20</v>
      </c>
      <c r="L1">
        <f>SUMIF($F$7:$F$200,$J1,L$7:L$200)</f>
        <v>20</v>
      </c>
      <c r="M1">
        <f>SUMIF($F$7:$F$200,$J1,M$7:M$200)</f>
        <v>30</v>
      </c>
      <c r="N1">
        <f>SUMIF($F$7:$F$200,$J1,N$7:N$200)</f>
        <v>70</v>
      </c>
      <c r="O1">
        <f>SUMIF($F$7:$F$200,$J1,O$7:O$200)</f>
        <v>4</v>
      </c>
    </row>
    <row r="2">
      <c r="J2" t="s">
        <v>1</v>
      </c>
      <c r="K2">
        <f>SUMIF($F$7:$F$200,$J2,K$7:K$200)</f>
        <v>0</v>
      </c>
      <c r="L2">
        <f>SUMIF($F$7:$F$200,$J2,L$7:L$200)</f>
        <v>30</v>
      </c>
      <c r="M2">
        <f>SUMIF($F$7:$F$200,$J2,M$7:M$200)</f>
        <v>80</v>
      </c>
      <c r="N2">
        <f>SUMIF($F$7:$F$200,$J2,N$7:N$200)</f>
        <v>110</v>
      </c>
      <c r="O2">
        <f>SUMIF($F$7:$F$200,$J2,O$7:O$200)</f>
        <v>6</v>
      </c>
    </row>
    <row r="3">
      <c r="J3" t="s">
        <v>2</v>
      </c>
      <c r="K3">
        <f>SUMIF($F$7:$F$200,$J3,K$7:K$200)</f>
        <v>15</v>
      </c>
      <c r="L3">
        <f>SUMIF($F$7:$F$200,$J3,L$7:L$200)</f>
        <v>45</v>
      </c>
      <c r="M3">
        <f>SUMIF($F$7:$F$200,$J3,M$7:M$200)</f>
        <v>0</v>
      </c>
      <c r="N3">
        <f>SUMIF($F$7:$F$200,$J3,N$7:N$200)</f>
        <v>60</v>
      </c>
      <c r="O3">
        <f>SUMIF($F$7:$F$200,$J3,O$7:O$200)</f>
        <v>2</v>
      </c>
    </row>
    <row r="4">
      <c r="J4" t="s">
        <v>3</v>
      </c>
      <c r="K4">
        <f>SUM(K1:K3)</f>
        <v>35</v>
      </c>
      <c r="L4">
        <f>SUM(L1:L3)</f>
        <v>95</v>
      </c>
      <c r="M4">
        <f>SUM(M1:M3)</f>
        <v>110</v>
      </c>
      <c r="N4">
        <f>SUM(N1:N3)</f>
        <v>240</v>
      </c>
      <c r="O4">
        <f>SUM(O1:O3)</f>
        <v>12</v>
      </c>
    </row>
    <row r="6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>
      <c r="A7" s="1">
        <v>45415</v>
      </c>
      <c r="B7" t="s">
        <v>20</v>
      </c>
      <c r="C7" t="s">
        <v>21</v>
      </c>
      <c r="D7" t="s">
        <v>22</v>
      </c>
      <c r="E7" t="s">
        <v>21</v>
      </c>
      <c r="F7" t="s">
        <v>0</v>
      </c>
      <c r="G7" t="s">
        <v>23</v>
      </c>
      <c r="J7" t="s">
        <v>24</v>
      </c>
      <c r="K7">
        <v>12</v>
      </c>
      <c r="N7">
        <f>SUM(K7:M7)</f>
        <v>12</v>
      </c>
      <c r="P7" t="s">
        <v>25</v>
      </c>
    </row>
    <row r="8">
      <c r="B8" t="s">
        <v>22</v>
      </c>
      <c r="C8" t="s">
        <v>21</v>
      </c>
      <c r="D8" t="s">
        <v>26</v>
      </c>
      <c r="E8" t="s">
        <v>21</v>
      </c>
      <c r="F8" t="s">
        <v>0</v>
      </c>
      <c r="G8" t="s">
        <v>23</v>
      </c>
      <c r="J8">
        <v>4</v>
      </c>
      <c r="K8">
        <v>8</v>
      </c>
      <c r="L8">
        <v>20</v>
      </c>
      <c r="N8">
        <f>SUM(K8:M8)</f>
        <v>28</v>
      </c>
      <c r="P8" t="s">
        <v>27</v>
      </c>
    </row>
    <row r="9">
      <c r="A9" s="1">
        <f>A7+1</f>
        <v>45416</v>
      </c>
      <c r="B9" t="s">
        <v>26</v>
      </c>
      <c r="C9" t="s">
        <v>21</v>
      </c>
      <c r="D9" t="s">
        <v>20</v>
      </c>
      <c r="E9" t="s">
        <v>21</v>
      </c>
      <c r="F9" t="s">
        <v>0</v>
      </c>
      <c r="G9" t="s">
        <v>23</v>
      </c>
      <c r="J9">
        <v>2</v>
      </c>
      <c r="M9">
        <v>30</v>
      </c>
      <c r="N9">
        <f>SUM(K9:M9)</f>
        <v>30</v>
      </c>
      <c r="O9">
        <v>4</v>
      </c>
    </row>
    <row r="10">
      <c r="N10">
        <f>SUM(K10:M10)</f>
        <v>0</v>
      </c>
    </row>
    <row r="11">
      <c r="A11" s="1">
        <v>45453</v>
      </c>
      <c r="B11" t="s">
        <v>28</v>
      </c>
      <c r="C11" t="s">
        <v>29</v>
      </c>
      <c r="D11" t="s">
        <v>30</v>
      </c>
      <c r="E11" t="s">
        <v>29</v>
      </c>
      <c r="F11" t="s">
        <v>1</v>
      </c>
      <c r="G11" t="s">
        <v>31</v>
      </c>
      <c r="H11" t="s">
        <v>32</v>
      </c>
      <c r="J11">
        <v>5</v>
      </c>
      <c r="L11">
        <v>30</v>
      </c>
      <c r="N11">
        <f>SUM(K11:M11)</f>
        <v>30</v>
      </c>
    </row>
    <row r="12">
      <c r="A12" s="1">
        <f>A11+1</f>
        <v>45454</v>
      </c>
      <c r="B12" t="s">
        <v>30</v>
      </c>
      <c r="C12" t="s">
        <v>29</v>
      </c>
      <c r="D12" t="s">
        <v>33</v>
      </c>
      <c r="E12" t="s">
        <v>29</v>
      </c>
      <c r="F12" t="s">
        <v>1</v>
      </c>
      <c r="G12" t="s">
        <v>31</v>
      </c>
      <c r="H12" t="s">
        <v>32</v>
      </c>
      <c r="J12">
        <v>3</v>
      </c>
      <c r="M12">
        <v>40</v>
      </c>
      <c r="N12">
        <f>SUM(K12:M12)</f>
        <v>40</v>
      </c>
      <c r="O12">
        <v>6</v>
      </c>
    </row>
    <row r="13">
      <c r="A13" s="1">
        <f>A12+1</f>
        <v>45455</v>
      </c>
      <c r="B13" t="s">
        <v>33</v>
      </c>
      <c r="C13" t="s">
        <v>29</v>
      </c>
      <c r="D13" t="s">
        <v>28</v>
      </c>
      <c r="E13" t="s">
        <v>29</v>
      </c>
      <c r="F13" t="s">
        <v>1</v>
      </c>
      <c r="G13" t="s">
        <v>31</v>
      </c>
      <c r="H13" t="s">
        <v>32</v>
      </c>
      <c r="M13">
        <v>40</v>
      </c>
      <c r="N13">
        <f>SUM(K13:M13)</f>
        <v>40</v>
      </c>
      <c r="P13" t="s">
        <v>34</v>
      </c>
    </row>
    <row r="14">
      <c r="N14">
        <f>SUM(K14:M14)</f>
        <v>0</v>
      </c>
    </row>
    <row r="15">
      <c r="N15">
        <f>SUM(K15:M15)</f>
        <v>0</v>
      </c>
    </row>
    <row r="16">
      <c r="A16" s="2">
        <v>45493</v>
      </c>
      <c r="B16" t="s">
        <v>35</v>
      </c>
      <c r="C16" t="s">
        <v>21</v>
      </c>
      <c r="D16" t="s">
        <v>36</v>
      </c>
      <c r="E16" t="s">
        <v>21</v>
      </c>
      <c r="F16" t="s">
        <v>37</v>
      </c>
      <c r="G16" t="s">
        <v>38</v>
      </c>
      <c r="H16" t="s">
        <v>39</v>
      </c>
      <c r="J16">
        <v>2</v>
      </c>
      <c r="K16">
        <v>15</v>
      </c>
      <c r="N16">
        <f>SUM(K16:M16)</f>
        <v>15</v>
      </c>
      <c r="P16" t="s">
        <v>40</v>
      </c>
    </row>
    <row r="17">
      <c r="A17" s="1">
        <v>45494</v>
      </c>
      <c r="B17" t="s">
        <v>36</v>
      </c>
      <c r="C17" t="s">
        <v>21</v>
      </c>
      <c r="D17" t="s">
        <v>35</v>
      </c>
      <c r="E17" t="s">
        <v>21</v>
      </c>
      <c r="F17" t="s">
        <v>41</v>
      </c>
      <c r="G17" t="s">
        <v>38</v>
      </c>
      <c r="H17" t="s">
        <v>39</v>
      </c>
      <c r="I17" t="s">
        <v>42</v>
      </c>
      <c r="J17">
        <v>3</v>
      </c>
      <c r="L17">
        <v>45</v>
      </c>
      <c r="N17">
        <f>SUM(K17:M17)</f>
        <v>45</v>
      </c>
      <c r="O17">
        <v>2</v>
      </c>
    </row>
    <row r="18">
      <c r="N18">
        <f>SUM(K18:M18)</f>
        <v>0</v>
      </c>
    </row>
    <row r="19">
      <c r="N19">
        <f>SUM(K19:M19)</f>
        <v>0</v>
      </c>
    </row>
    <row r="20">
      <c r="N20">
        <f>SUM(K20:M20)</f>
        <v>0</v>
      </c>
    </row>
  </sheetData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Blad1!$A$1:$A$5</xm:f>
          </x14:formula1>
          <xm:sqref>F7:F1000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x14ac:dyDescent="0.25"/>
  <sheetData>
    <row r="1">
      <c r="A1" t="s">
        <v>0</v>
      </c>
    </row>
    <row r="2">
      <c r="A2" t="s">
        <v>1</v>
      </c>
    </row>
    <row r="3">
      <c r="A3" t="s">
        <v>41</v>
      </c>
    </row>
    <row r="4">
      <c r="A4" t="s">
        <v>37</v>
      </c>
    </row>
    <row r="5">
      <c r="A5" t="s">
        <v>43</v>
      </c>
    </row>
  </sheetData>
</worksheet>
</file>